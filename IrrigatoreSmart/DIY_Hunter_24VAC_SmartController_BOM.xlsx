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bf1548521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Base" sheetId="1" r:id="Re6670dd89a674cf9"/>
    <x:sheet xmlns:r="http://schemas.openxmlformats.org/officeDocument/2006/relationships" name="Optional_Upgrade" sheetId="2" r:id="Rcf5c8f643d7141c5"/>
    <x:sheet xmlns:r="http://schemas.openxmlformats.org/officeDocument/2006/relationships" name="Totali" sheetId="3" r:id="Rda59f0aa32004fa4"/>
    <x:sheet xmlns:r="http://schemas.openxmlformats.org/officeDocument/2006/relationships" name="Note_Acquisto" sheetId="4" r:id="R295f6e1b4573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€ #,##0.00"/>
  </x:numFmts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  <x:color rgb="001F4E79"/>
    </x:font>
    <x:font>
      <x:b/>
      <x:color rgb="001F4E79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1" fontId="0" fillId="0" borderId="1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2" fillId="0" borderId="0" xfId="0"/>
    <x:xf numFmtId="0" fontId="3" fillId="3" borderId="1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205f10ac54f4e" /><Relationship Type="http://schemas.openxmlformats.org/officeDocument/2006/relationships/theme" Target="/xl/theme/theme1.xml" Id="Ra5b968b8717e4e68" /><Relationship Type="http://schemas.openxmlformats.org/officeDocument/2006/relationships/sharedStrings" Target="/xl/sharedStrings.xml" Id="R163271fc06244e72" /><Relationship Type="http://schemas.openxmlformats.org/officeDocument/2006/relationships/worksheet" Target="/xl/worksheets/sheet1.xml" Id="Re6670dd89a674cf9" /><Relationship Type="http://schemas.openxmlformats.org/officeDocument/2006/relationships/worksheet" Target="/xl/worksheets/sheet2.xml" Id="Rcf5c8f643d7141c5" /><Relationship Type="http://schemas.openxmlformats.org/officeDocument/2006/relationships/worksheet" Target="/xl/worksheets/sheet3.xml" Id="Rda59f0aa32004fa4" /><Relationship Type="http://schemas.openxmlformats.org/officeDocument/2006/relationships/worksheet" Target="/xl/worksheets/sheet4.xml" Id="R295f6e1b45734958" /></Relationships>
</file>

<file path=xl/tables/table1.xml><?xml version="1.0" encoding="utf-8"?>
<x:table xmlns:x="http://schemas.openxmlformats.org/spreadsheetml/2006/main" id="1" name="BOMBase" displayName="BOMBase" ref="A1:J17" headerRowCount="1">
  <x:autoFilter ref="A1:J17"/>
  <x:tableColumns count="10">
    <x:tableColumn id="1" name="Categoria"/>
    <x:tableColumn id="2" name="Componente"/>
    <x:tableColumn id="3" name="Quantità"/>
    <x:tableColumn id="4" name="Specifiche tecniche minime (vincolanti)"/>
    <x:tableColumn id="5" name="Compatibilità (Uno / ESP32 / entrambi)"/>
    <x:tableColumn id="6" name="Note d’uso"/>
    <x:tableColumn id="7" name="Link acquisto 1 (Amazon/UE — query reale)"/>
    <x:tableColumn id="8" name="Link acquisto 2 (AliExpress o equivalente)"/>
    <x:tableColumn id="9" name="Prezzo unitario stimato (€)"/>
    <x:tableColumn id="10" name="Totale riga (€)"/>
  </x:tableColumns>
  <x:tableStyleInfo name="TableStyleMedium9" showRowStripes="1"/>
</x:table>
</file>

<file path=xl/tables/table2.xml><?xml version="1.0" encoding="utf-8"?>
<x:table xmlns:x="http://schemas.openxmlformats.org/spreadsheetml/2006/main" id="2" name="OptionalUpg" displayName="OptionalUpg" ref="A1:K8" headerRowCount="1">
  <x:autoFilter ref="A1:K8"/>
  <x:tableColumns count="11">
    <x:tableColumn id="1" name="Categoria"/>
    <x:tableColumn id="2" name="Opzione"/>
    <x:tableColumn id="3" name="Incluso? (Sì/No)"/>
    <x:tableColumn id="4" name="Quantità"/>
    <x:tableColumn id="5" name="Specifiche minime"/>
    <x:tableColumn id="6" name="Note"/>
    <x:tableColumn id="7" name="Link acquisto 1 (Amazon/UE — query reale)"/>
    <x:tableColumn id="8" name="Link acquisto 2 (AliExpress o equivalente)"/>
    <x:tableColumn id="9" name="Prezzo unitario stimato (€)"/>
    <x:tableColumn id="10" name="Totale riga (€)"/>
    <x:tableColumn id="11" name="Gruppo (Smart/Logging/Full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5b27f8872d4f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384086a12c444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42" customWidth="1"/>
    <x:col min="3" max="3" width="10" customWidth="1"/>
    <x:col min="4" max="4" width="50" customWidth="1"/>
    <x:col min="5" max="5" width="18" customWidth="1"/>
    <x:col min="6" max="6" width="34" customWidth="1"/>
    <x:col min="7" max="7" width="36" customWidth="1"/>
    <x:col min="8" max="8" width="36" customWidth="1"/>
    <x:col min="9" max="9" width="18" customWidth="1"/>
    <x:col min="10" max="10" width="16" customWidth="1"/>
  </x:cols>
  <x:sheetData>
    <x:row r="1" ht="28" customHeight="1">
      <x:c r="A1" s="1" t="inlineStr">
        <x:is>
          <x:t xml:space="preserve">Categoria</x:t>
        </x:is>
      </x:c>
      <x:c r="B1" s="1" t="inlineStr">
        <x:is>
          <x:t xml:space="preserve">Componente</x:t>
        </x:is>
      </x:c>
      <x:c r="C1" s="1" t="inlineStr">
        <x:is>
          <x:t xml:space="preserve">Quantità</x:t>
        </x:is>
      </x:c>
      <x:c r="D1" s="1" t="inlineStr">
        <x:is>
          <x:t xml:space="preserve">Specifiche tecniche minime (vincolanti)</x:t>
        </x:is>
      </x:c>
      <x:c r="E1" s="1" t="inlineStr">
        <x:is>
          <x:t xml:space="preserve">Compatibilità (Uno / ESP32 / entrambi)</x:t>
        </x:is>
      </x:c>
      <x:c r="F1" s="1" t="inlineStr">
        <x:is>
          <x:t xml:space="preserve">Note d’uso</x:t>
        </x:is>
      </x:c>
      <x:c r="G1" s="1" t="inlineStr">
        <x:is>
          <x:t xml:space="preserve">Link acquisto 1 (Amazon/UE — query reale)</x:t>
        </x:is>
      </x:c>
      <x:c r="H1" s="1" t="inlineStr">
        <x:is>
          <x:t xml:space="preserve">Link acquisto 2 (AliExpress o equivalente)</x:t>
        </x:is>
      </x:c>
      <x:c r="I1" s="1" t="inlineStr">
        <x:is>
          <x:t xml:space="preserve">Prezzo unitario stimato (€)</x:t>
        </x:is>
      </x:c>
      <x:c r="J1" s="1" t="inlineStr">
        <x:is>
          <x:t xml:space="preserve">Totale riga (€)</x:t>
        </x:is>
      </x:c>
    </x:row>
    <x:row r="2" ht="60" customHeight="1">
      <x:c r="A2" s="2" t="inlineStr">
        <x:is>
          <x:t xml:space="preserve">MCU / Dev</x:t>
        </x:is>
      </x:c>
      <x:c r="B2" s="2" t="inlineStr">
        <x:is>
          <x:t xml:space="preserve">Arduino Uno R3 (compatibile)</x:t>
        </x:is>
      </x:c>
      <x:c r="C2" s="3" t="n">
        <x:v>1</x:v>
      </x:c>
      <x:c r="D2" s="2" t="inlineStr">
        <x:is>
          <x:t xml:space="preserve">ATmega328P, USB, 5V logic, alimentazione 5V (USB) o 7-12V (jack)</x:t>
        </x:is>
      </x:c>
      <x:c r="E2" s="2" t="inlineStr">
        <x:is>
          <x:t xml:space="preserve">Uno</x:t>
        </x:is>
      </x:c>
      <x:c r="F2" s="2" t="inlineStr">
        <x:is>
          <x:t xml:space="preserve">Piattaforma di sviluppo e collaudo iniziale (obbligatoria). Anche clone OK.</x:t>
        </x:is>
      </x:c>
      <x:c r="G2" s="2" t="inlineStr">
        <x:is>
          <x:t xml:space="preserve">https://www.amazon.it/s?k=arduino+uno+r3</x:t>
        </x:is>
      </x:c>
      <x:c r="H2" s="2" t="inlineStr">
        <x:is>
          <x:t xml:space="preserve">https://www.aliexpress.com/wholesale?SearchText=arduino+uno+r3</x:t>
        </x:is>
      </x:c>
      <x:c r="I2" s="4" t="n">
        <x:v>18</x:v>
      </x:c>
      <x:c r="J2" s="4">
        <x:f>C2*I2</x:f>
        <x:v>18</x:v>
      </x:c>
    </x:row>
    <x:row r="3" ht="60" customHeight="1">
      <x:c r="A3" s="2" t="inlineStr">
        <x:is>
          <x:t xml:space="preserve">MCU / Dev</x:t>
        </x:is>
      </x:c>
      <x:c r="B3" s="2" t="inlineStr">
        <x:is>
          <x:t xml:space="preserve">ESP32 Dev Module (DOIT / DevKitC compatibile)</x:t>
        </x:is>
      </x:c>
      <x:c r="C3" s="3" t="n">
        <x:v>1</x:v>
      </x:c>
      <x:c r="D3" s="2" t="inlineStr">
        <x:is>
          <x:t xml:space="preserve">3.3V I/O, Wi-Fi + BT, &gt;=4MB flash, alimentazione 5V via USB</x:t>
        </x:is>
      </x:c>
      <x:c r="E3" s="2" t="inlineStr">
        <x:is>
          <x:t xml:space="preserve">ESP32</x:t>
        </x:is>
      </x:c>
      <x:c r="F3" s="2" t="inlineStr">
        <x:is>
          <x:t xml:space="preserve">Target finale smart. Scegli un modulo con pin esposti e USB integrata.</x:t>
        </x:is>
      </x:c>
      <x:c r="G3" s="2" t="inlineStr">
        <x:is>
          <x:t xml:space="preserve">https://www.amazon.it/s?k=esp32+dev+module</x:t>
        </x:is>
      </x:c>
      <x:c r="H3" s="2" t="inlineStr">
        <x:is>
          <x:t xml:space="preserve">https://www.aliexpress.com/wholesale?SearchText=esp32+devkit</x:t>
        </x:is>
      </x:c>
      <x:c r="I3" s="4" t="n">
        <x:v>8.5</x:v>
      </x:c>
      <x:c r="J3" s="4">
        <x:f>C3*I3</x:f>
        <x:v>8.5</x:v>
      </x:c>
    </x:row>
    <x:row r="4" ht="60" customHeight="1">
      <x:c r="A4" s="2" t="inlineStr">
        <x:is>
          <x:t xml:space="preserve">Switching 24VAC</x:t>
        </x:is>
      </x:c>
      <x:c r="B4" s="2" t="inlineStr">
        <x:is>
          <x:t xml:space="preserve">SSR AC (triac) 2 canali, ingresso 3-32VDC, uscita 24-380VAC &gt;=2A, zero-cross</x:t>
        </x:is>
      </x:c>
      <x:c r="C4" s="3" t="n">
        <x:v>1</x:v>
      </x:c>
      <x:c r="D4" s="2" t="inlineStr">
        <x:is>
          <x:t xml:space="preserve">Ingresso DC 3-32V (ok 3.3V), isolamento opto, uscita AC &gt;=2A, dissipazione adeguata</x:t>
        </x:is>
      </x:c>
      <x:c r="E4" s="2" t="inlineStr">
        <x:is>
          <x:t xml:space="preserve">Entrambi</x:t>
        </x:is>
      </x:c>
      <x:c r="F4" s="2" t="inlineStr">
        <x:is>
          <x:t xml:space="preserve">Consigliato rispetto a relè meccanici (silenzioso, niente usura). Verifica che commuti con 3.3V.</x:t>
        </x:is>
      </x:c>
      <x:c r="G4" s="2" t="inlineStr">
        <x:is>
          <x:t xml:space="preserve">https://www.amazon.it/s?k=modulo+SSR+2+canali+3-32V+AC</x:t>
        </x:is>
      </x:c>
      <x:c r="H4" s="2" t="inlineStr">
        <x:is>
          <x:t xml:space="preserve">https://www.aliexpress.com/wholesale?SearchText=2+channel+solid+state+relay+3-32V+AC</x:t>
        </x:is>
      </x:c>
      <x:c r="I4" s="4" t="n">
        <x:v>14</x:v>
      </x:c>
      <x:c r="J4" s="4">
        <x:f>C4*I4</x:f>
        <x:v>14</x:v>
      </x:c>
    </x:row>
    <x:row r="5" ht="60" customHeight="1">
      <x:c r="A5" s="2" t="inlineStr">
        <x:is>
          <x:t xml:space="preserve">Power</x:t>
        </x:is>
      </x:c>
      <x:c r="B5" s="2" t="inlineStr">
        <x:is>
          <x:t xml:space="preserve">Trasformatore 230VAC -&gt; 24VAC (&gt;=1A, &gt;=24VA) certificato</x:t>
        </x:is>
      </x:c>
      <x:c r="C5" s="3" t="n">
        <x:v>1</x:v>
      </x:c>
      <x:c r="D5" s="2" t="inlineStr">
        <x:is>
          <x:t xml:space="preserve">Ingresso 230VAC, uscita 24VAC, potenza &gt;=24VA (meglio 30-40VA), classe II o con PE</x:t>
        </x:is>
      </x:c>
      <x:c r="E5" s="2" t="inlineStr">
        <x:is>
          <x:t xml:space="preserve">Entrambi</x:t>
        </x:is>
      </x:c>
      <x:c r="F5" s="2" t="inlineStr">
        <x:is>
          <x:t xml:space="preserve">Se vuoi lasciare Hunter separato, usa trasformatore dedicato. Se prelevi dal 24VAC Hunter, puo' essere non necessario.</x:t>
        </x:is>
      </x:c>
      <x:c r="G5" s="2" t="inlineStr">
        <x:is>
          <x:t xml:space="preserve">https://www.amazon.it/s?k=trasformatore+24vac+30va</x:t>
        </x:is>
      </x:c>
      <x:c r="H5" s="2" t="inlineStr">
        <x:is>
          <x:t xml:space="preserve">https://www.aliexpress.com/wholesale?SearchText=24vac+transformer+30va</x:t>
        </x:is>
      </x:c>
      <x:c r="I5" s="4" t="n">
        <x:v>19</x:v>
      </x:c>
      <x:c r="J5" s="4">
        <x:f>C5*I5</x:f>
        <x:v>19</x:v>
      </x:c>
    </x:row>
    <x:row r="6" ht="60" customHeight="1">
      <x:c r="A6" s="2" t="inlineStr">
        <x:is>
          <x:t xml:space="preserve">Power</x:t>
        </x:is>
      </x:c>
      <x:c r="B6" s="2" t="inlineStr">
        <x:is>
          <x:t xml:space="preserve">Alimentatore 230VAC -&gt; 5VDC (USB) &gt;=2A certificato</x:t>
        </x:is>
      </x:c>
      <x:c r="C6" s="3" t="n">
        <x:v>1</x:v>
      </x:c>
      <x:c r="D6" s="2" t="inlineStr">
        <x:is>
          <x:t xml:space="preserve">5VDC stabilizzati, &gt;=2A, protezioni OVP/OCP, certificazione CE</x:t>
        </x:is>
      </x:c>
      <x:c r="E6" s="2" t="inlineStr">
        <x:is>
          <x:t xml:space="preserve">Entrambi</x:t>
        </x:is>
      </x:c>
      <x:c r="F6" s="2" t="inlineStr">
        <x:is>
          <x:t xml:space="preserve">Alimenta Arduino/ESP32 e moduli. Preferisci marca nota.</x:t>
        </x:is>
      </x:c>
      <x:c r="G6" s="2" t="inlineStr">
        <x:is>
          <x:t xml:space="preserve">https://www.amazon.it/s?k=alimentatore+5v+2a+certificato</x:t>
        </x:is>
      </x:c>
      <x:c r="H6" s="2" t="inlineStr">
        <x:is>
          <x:t xml:space="preserve">https://www.aliexpress.com/wholesale?SearchText=5v+2a+power+supply+usb</x:t>
        </x:is>
      </x:c>
      <x:c r="I6" s="4" t="n">
        <x:v>8</x:v>
      </x:c>
      <x:c r="J6" s="4">
        <x:f>C6*I6</x:f>
        <x:v>8</x:v>
      </x:c>
    </x:row>
    <x:row r="7" ht="60" customHeight="1">
      <x:c r="A7" s="2" t="inlineStr">
        <x:is>
          <x:t xml:space="preserve">Sensori</x:t>
        </x:is>
      </x:c>
      <x:c r="B7" s="2" t="inlineStr">
        <x:is>
          <x:t xml:space="preserve">Sensore umidita' terreno capacitivo (analogico)</x:t>
        </x:is>
      </x:c>
      <x:c r="C7" s="3" t="n">
        <x:v>2</x:v>
      </x:c>
      <x:c r="D7" s="2" t="inlineStr">
        <x:is>
          <x:t xml:space="preserve">Alimentazione 3.3-5V, uscita analogica, PCB con rivestimento protettivo</x:t>
        </x:is>
      </x:c>
      <x:c r="E7" s="2" t="inlineStr">
        <x:is>
          <x:t xml:space="preserve">Entrambi</x:t>
        </x:is>
      </x:c>
      <x:c r="F7" s="2" t="inlineStr">
        <x:is>
          <x:t xml:space="preserve">Alimentali a 3.3V cosi' l'uscita e' sicura anche per ESP32. Serve calibrazione dry/wet in situ.</x:t>
        </x:is>
      </x:c>
      <x:c r="G7" s="2" t="inlineStr">
        <x:is>
          <x:t xml:space="preserve">https://www.amazon.it/s?k=sensore+umidit%C3%A0+terreno+capacitivo+analogico</x:t>
        </x:is>
      </x:c>
      <x:c r="H7" s="2" t="inlineStr">
        <x:is>
          <x:t xml:space="preserve">https://www.aliexpress.com/wholesale?SearchText=capacitive+soil+moisture+sensor+analog</x:t>
        </x:is>
      </x:c>
      <x:c r="I7" s="4" t="n">
        <x:v>3.8</x:v>
      </x:c>
      <x:c r="J7" s="4">
        <x:f>C7*I7</x:f>
        <x:v>7.6</x:v>
      </x:c>
    </x:row>
    <x:row r="8" ht="60" customHeight="1">
      <x:c r="A8" s="2" t="inlineStr">
        <x:is>
          <x:t xml:space="preserve">Enclosure</x:t>
        </x:is>
      </x:c>
      <x:c r="B8" s="2" t="inlineStr">
        <x:is>
          <x:t xml:space="preserve">Box IP65 (ABS/PC) con piastra interna (~200x150x100mm)</x:t>
        </x:is>
      </x:c>
      <x:c r="C8" s="3" t="n">
        <x:v>1</x:v>
      </x:c>
      <x:c r="D8" s="2" t="inlineStr">
        <x:is>
          <x:t xml:space="preserve">IP65, materiale autoestinguente, spazio per morsetti + moduli, coperchio con guarnizione</x:t>
        </x:is>
      </x:c>
      <x:c r="E8" s="2" t="inlineStr">
        <x:is>
          <x:t xml:space="preserve">Entrambi</x:t>
        </x:is>
      </x:c>
      <x:c r="F8" s="2" t="inlineStr">
        <x:is>
          <x:t xml:space="preserve">Tutto il cablaggio a bassa tensione dentro; 230V resta fuori (solo alimentatori certificati).</x:t>
        </x:is>
      </x:c>
      <x:c r="G8" s="2" t="inlineStr">
        <x:is>
          <x:t xml:space="preserve">https://www.amazon.it/s?k=scatola+stagna+ip65+200x150x100</x:t>
        </x:is>
      </x:c>
      <x:c r="H8" s="2" t="inlineStr">
        <x:is>
          <x:t xml:space="preserve">https://www.aliexpress.com/wholesale?SearchText=ip65+project+box+200+150+100</x:t>
        </x:is>
      </x:c>
      <x:c r="I8" s="4" t="n">
        <x:v>16</x:v>
      </x:c>
      <x:c r="J8" s="4">
        <x:f>C8*I8</x:f>
        <x:v>16</x:v>
      </x:c>
    </x:row>
    <x:row r="9" ht="60" customHeight="1">
      <x:c r="A9" s="2" t="inlineStr">
        <x:is>
          <x:t xml:space="preserve">Protezione</x:t>
        </x:is>
      </x:c>
      <x:c r="B9" s="2" t="inlineStr">
        <x:is>
          <x:t xml:space="preserve">Portafusibile + fusibile ritardato 24VAC (1A) per linea HOT 24VAC</x:t>
        </x:is>
      </x:c>
      <x:c r="C9" s="3" t="n">
        <x:v>1</x:v>
      </x:c>
      <x:c r="D9" s="2" t="inlineStr">
        <x:is>
          <x:t xml:space="preserve">Fusibile 5x20mm T1A (ritardato) o equivalente; portafusibile da pannello o su guida DIN</x:t>
        </x:is>
      </x:c>
      <x:c r="E9" s="2" t="inlineStr">
        <x:is>
          <x:t xml:space="preserve">Entrambi</x:t>
        </x:is>
      </x:c>
      <x:c r="F9" s="2" t="inlineStr">
        <x:is>
          <x:t xml:space="preserve">Protegge da corto su cavi/elettrovalvole. Dimensionato per 2 zone mai contemporanee.</x:t>
        </x:is>
      </x:c>
      <x:c r="G9" s="2" t="inlineStr">
        <x:is>
          <x:t xml:space="preserve">https://www.amazon.it/s?k=portafusibile+5x20+da+pannello+fusibile+T1A</x:t>
        </x:is>
      </x:c>
      <x:c r="H9" s="2" t="inlineStr">
        <x:is>
          <x:t xml:space="preserve">https://www.aliexpress.com/wholesale?SearchText=5x20+fuse+holder+panel+T1A</x:t>
        </x:is>
      </x:c>
      <x:c r="I9" s="4" t="n">
        <x:v>3.5</x:v>
      </x:c>
      <x:c r="J9" s="4">
        <x:f>C9*I9</x:f>
        <x:v>3.5</x:v>
      </x:c>
    </x:row>
    <x:row r="10" ht="60" customHeight="1">
      <x:c r="A10" s="2" t="inlineStr">
        <x:is>
          <x:t xml:space="preserve">Protezione</x:t>
        </x:is>
      </x:c>
      <x:c r="B10" s="2" t="inlineStr">
        <x:is>
          <x:t xml:space="preserve">RC snubber (100nF film &gt;=100V + 100ohm 1W) - 1 per elettrovalvola</x:t>
        </x:is>
      </x:c>
      <x:c r="C10" s="3" t="n">
        <x:v>2</x:v>
      </x:c>
      <x:c r="D10" s="2" t="inlineStr">
        <x:is>
          <x:t xml:space="preserve">Condensatore film &gt;=100V (meglio 250V), resistore 100ohm 1W, montaggio vicino ai morsetti</x:t>
        </x:is>
      </x:c>
      <x:c r="E10" s="2" t="inlineStr">
        <x:is>
          <x:t xml:space="preserve">Entrambi</x:t>
        </x:is>
      </x:c>
      <x:c r="F10" s="2" t="inlineStr">
        <x:is>
          <x:t xml:space="preserve">Riduce disturbi su carico induttivo 24VAC (soprattutto con rele' meccanici).</x:t>
        </x:is>
      </x:c>
      <x:c r="G10" s="2" t="inlineStr">
        <x:is>
          <x:t xml:space="preserve">https://www.amazon.it/s?k=condensatore+film+100nF+250V+resistenza+100+ohm+1W</x:t>
        </x:is>
      </x:c>
      <x:c r="H10" s="2" t="inlineStr">
        <x:is>
          <x:t xml:space="preserve">https://www.aliexpress.com/wholesale?SearchText=100nF+film+capacitor+250V+100ohm+1W+resistor</x:t>
        </x:is>
      </x:c>
      <x:c r="I10" s="4" t="n">
        <x:v>1.2</x:v>
      </x:c>
      <x:c r="J10" s="4">
        <x:f>C10*I10</x:f>
        <x:v>2.4</x:v>
      </x:c>
    </x:row>
    <x:row r="11" ht="60" customHeight="1">
      <x:c r="A11" s="2" t="inlineStr">
        <x:is>
          <x:t xml:space="preserve">Interconnessioni</x:t>
        </x:is>
      </x:c>
      <x:c r="B11" s="2" t="inlineStr">
        <x:is>
          <x:t xml:space="preserve">Morsettiere a vite / WAGO (24VAC) + barra DIN piccola</x:t>
        </x:is>
      </x:c>
      <x:c r="C11" s="3" t="n">
        <x:v>1</x:v>
      </x:c>
      <x:c r="D11" s="2" t="inlineStr">
        <x:is>
          <x:t xml:space="preserve">Tensione &gt;=250V, corrente &gt;=10A, passo 5.08mm o morsetti rapidi originali</x:t>
        </x:is>
      </x:c>
      <x:c r="E11" s="2" t="inlineStr">
        <x:is>
          <x:t xml:space="preserve">Entrambi</x:t>
        </x:is>
      </x:c>
      <x:c r="F11" s="2" t="inlineStr">
        <x:is>
          <x:t xml:space="preserve">Ordine e sicurezza: separa chiaramente 24VAC, 5V e segnali sensori.</x:t>
        </x:is>
      </x:c>
      <x:c r="G11" s="2" t="inlineStr">
        <x:is>
          <x:t xml:space="preserve">https://www.amazon.it/s?k=morsettiera+din+vite+10a</x:t>
        </x:is>
      </x:c>
      <x:c r="H11" s="2" t="inlineStr">
        <x:is>
          <x:t xml:space="preserve">https://www.aliexpress.com/wholesale?SearchText=din+rail+terminal+block+10a</x:t>
        </x:is>
      </x:c>
      <x:c r="I11" s="4" t="n">
        <x:v>9</x:v>
      </x:c>
      <x:c r="J11" s="4">
        <x:f>C11*I11</x:f>
        <x:v>9</x:v>
      </x:c>
    </x:row>
    <x:row r="12" ht="60" customHeight="1">
      <x:c r="A12" s="2" t="inlineStr">
        <x:is>
          <x:t xml:space="preserve">Cabling</x:t>
        </x:is>
      </x:c>
      <x:c r="B12" s="2" t="inlineStr">
        <x:is>
          <x:t xml:space="preserve">Cavo multi-conduttore (es. 5x0.75mm2) + spezzoni</x:t>
        </x:is>
      </x:c>
      <x:c r="C12" s="3" t="n">
        <x:v>1</x:v>
      </x:c>
      <x:c r="D12" s="2" t="inlineStr">
        <x:is>
          <x:t xml:space="preserve">Guaina esterna resistente UV, sezione &gt;=0.5mm2 (meglio 0.75) per tratte nel box</x:t>
        </x:is>
      </x:c>
      <x:c r="E12" s="2" t="inlineStr">
        <x:is>
          <x:t xml:space="preserve">Entrambi</x:t>
        </x:is>
      </x:c>
      <x:c r="F12" s="2" t="inlineStr">
        <x:is>
          <x:t xml:space="preserve">Nel box usa sezione generosa e ferruli; all'esterno usa cavo irrigazione dedicato.</x:t>
        </x:is>
      </x:c>
      <x:c r="G12" s="2" t="inlineStr">
        <x:is>
          <x:t xml:space="preserve">https://www.amazon.it/s?k=cavo+irrigazione+5x0.75</x:t>
        </x:is>
      </x:c>
      <x:c r="H12" s="2" t="inlineStr">
        <x:is>
          <x:t xml:space="preserve">https://www.aliexpress.com/wholesale?SearchText=multi+core+cable+0.75mm+5+core</x:t>
        </x:is>
      </x:c>
      <x:c r="I12" s="4" t="n">
        <x:v>12</x:v>
      </x:c>
      <x:c r="J12" s="4">
        <x:f>C12*I12</x:f>
        <x:v>12</x:v>
      </x:c>
    </x:row>
    <x:row r="13" ht="60" customHeight="1">
      <x:c r="A13" s="2" t="inlineStr">
        <x:is>
          <x:t xml:space="preserve">Meccanica</x:t>
        </x:is>
      </x:c>
      <x:c r="B13" s="2" t="inlineStr">
        <x:is>
          <x:t xml:space="preserve">Pressacavi IP68 assortiti (M16/M20) + guarnizioni</x:t>
        </x:is>
      </x:c>
      <x:c r="C13" s="3" t="n">
        <x:v>1</x:v>
      </x:c>
      <x:c r="D13" s="2" t="inlineStr">
        <x:is>
          <x:t xml:space="preserve">IP68, campo serraggio adatto ai cavi, controdado incluso</x:t>
        </x:is>
      </x:c>
      <x:c r="E13" s="2" t="inlineStr">
        <x:is>
          <x:t xml:space="preserve">Entrambi</x:t>
        </x:is>
      </x:c>
      <x:c r="F13" s="2" t="inlineStr">
        <x:is>
          <x:t xml:space="preserve">Evita ingressi acqua e trazione sui cavi. Metti un pressacavo per ogni fascio cavi.</x:t>
        </x:is>
      </x:c>
      <x:c r="G13" s="2" t="inlineStr">
        <x:is>
          <x:t xml:space="preserve">https://www.amazon.it/s?k=pressacavo+ip68+M16+M20+kit</x:t>
        </x:is>
      </x:c>
      <x:c r="H13" s="2" t="inlineStr">
        <x:is>
          <x:t xml:space="preserve">https://www.aliexpress.com/wholesale?SearchText=ip68+cable+gland+M16+M20+kit</x:t>
        </x:is>
      </x:c>
      <x:c r="I13" s="4" t="n">
        <x:v>6.5</x:v>
      </x:c>
      <x:c r="J13" s="4">
        <x:f>C13*I13</x:f>
        <x:v>6.5</x:v>
      </x:c>
    </x:row>
    <x:row r="14" ht="60" customHeight="1">
      <x:c r="A14" s="2" t="inlineStr">
        <x:is>
          <x:t xml:space="preserve">Modalita' Parallelo</x:t>
        </x:is>
      </x:c>
      <x:c r="B14" s="2" t="inlineStr">
        <x:is>
          <x:t xml:space="preserve">Deviatore 4PDT ON-ON (&gt;=2A @ 30VAC) + manopola/etichetta</x:t>
        </x:is>
      </x:c>
      <x:c r="C14" s="3" t="n">
        <x:v>1</x:v>
      </x:c>
      <x:c r="D14" s="2" t="inlineStr">
        <x:is>
          <x:t xml:space="preserve">4 poli 2 posizioni (ON-ON), contatti &gt;=2A @ 30VAC, montaggio a pannello</x:t>
        </x:is>
      </x:c>
      <x:c r="E14" s="2" t="inlineStr">
        <x:is>
          <x:t xml:space="preserve">Entrambi</x:t>
        </x:is>
      </x:c>
      <x:c r="F14" s="2" t="inlineStr">
        <x:is>
          <x:t xml:space="preserve">Seleziona: Hunter &lt;-&gt; DIY. 4 poli: COM + Zona1 + Zona2 + riserva (o Master Valve).</x:t>
        </x:is>
      </x:c>
      <x:c r="G14" s="2" t="inlineStr">
        <x:is>
          <x:t xml:space="preserve">https://www.amazon.it/s?k=interruttore+4PDT+ON-ON</x:t>
        </x:is>
      </x:c>
      <x:c r="H14" s="2" t="inlineStr">
        <x:is>
          <x:t xml:space="preserve">https://www.aliexpress.com/wholesale?SearchText=4PDT+on-on+toggle+switch</x:t>
        </x:is>
      </x:c>
      <x:c r="I14" s="4" t="n">
        <x:v>7</x:v>
      </x:c>
      <x:c r="J14" s="4">
        <x:f>C14*I14</x:f>
        <x:v>7</x:v>
      </x:c>
    </x:row>
    <x:row r="15" ht="60" customHeight="1">
      <x:c r="A15" s="2" t="inlineStr">
        <x:is>
          <x:t xml:space="preserve">Prototipazione</x:t>
        </x:is>
      </x:c>
      <x:c r="B15" s="2" t="inlineStr">
        <x:is>
          <x:t xml:space="preserve">Breadboard + cavetti Dupont (per fase Arduino Uno)</x:t>
        </x:is>
      </x:c>
      <x:c r="C15" s="3" t="n">
        <x:v>1</x:v>
      </x:c>
      <x:c r="D15" s="2" t="inlineStr">
        <x:is>
          <x:t xml:space="preserve">Breadboard 830 punti, cavetti M-M/F-F assortiti</x:t>
        </x:is>
      </x:c>
      <x:c r="E15" s="2" t="inlineStr">
        <x:is>
          <x:t xml:space="preserve">Uno</x:t>
        </x:is>
      </x:c>
      <x:c r="F15" s="2" t="inlineStr">
        <x:is>
          <x:t xml:space="preserve">Solo per sviluppo iniziale; nella build finale usa morsetti e cavi con ferruli.</x:t>
        </x:is>
      </x:c>
      <x:c r="G15" s="2" t="inlineStr">
        <x:is>
          <x:t xml:space="preserve">https://www.amazon.it/s?k=breadboard+830+dupont+kit</x:t>
        </x:is>
      </x:c>
      <x:c r="H15" s="2" t="inlineStr">
        <x:is>
          <x:t xml:space="preserve">https://www.aliexpress.com/wholesale?SearchText=breadboard+830+dupont+wires+kit</x:t>
        </x:is>
      </x:c>
      <x:c r="I15" s="4" t="n">
        <x:v>7</x:v>
      </x:c>
      <x:c r="J15" s="4">
        <x:f>C15*I15</x:f>
        <x:v>7</x:v>
      </x:c>
    </x:row>
    <x:row r="16" ht="60" customHeight="1">
      <x:c r="A16" s="2" t="inlineStr">
        <x:is>
          <x:t xml:space="preserve">Interfaccia</x:t>
        </x:is>
      </x:c>
      <x:c r="B16" s="2" t="inlineStr">
        <x:is>
          <x:t xml:space="preserve">Pulsante di emergenza / switch STOP (consigliato)</x:t>
        </x:is>
      </x:c>
      <x:c r="C16" s="3" t="n">
        <x:v>1</x:v>
      </x:c>
      <x:c r="D16" s="2" t="inlineStr">
        <x:is>
          <x:t xml:space="preserve">Interruttore a leva o fungo NC/NO, 5V logic, montaggio a pannello</x:t>
        </x:is>
      </x:c>
      <x:c r="E16" s="2" t="inlineStr">
        <x:is>
          <x:t xml:space="preserve">Entrambi</x:t>
        </x:is>
      </x:c>
      <x:c r="F16" s="2" t="inlineStr">
        <x:is>
          <x:t xml:space="preserve">Interrompe immediatamente l'irrigazione dal firmware (non taglia 24VAC).</x:t>
        </x:is>
      </x:c>
      <x:c r="G16" s="2" t="inlineStr">
        <x:is>
          <x:t xml:space="preserve">https://www.amazon.it/s?k=pulsante+fungo+emergenza+NO+NC</x:t>
        </x:is>
      </x:c>
      <x:c r="H16" s="2" t="inlineStr">
        <x:is>
          <x:t xml:space="preserve">https://www.aliexpress.com/wholesale?SearchText=emergency+stop+button+no+nc</x:t>
        </x:is>
      </x:c>
      <x:c r="I16" s="4" t="n">
        <x:v>5.5</x:v>
      </x:c>
      <x:c r="J16" s="4">
        <x:f>C16*I16</x:f>
        <x:v>5.5</x:v>
      </x:c>
    </x:row>
    <x:row r="17" ht="60" customHeight="1">
      <x:c r="A17" s="2" t="inlineStr">
        <x:is>
          <x:t xml:space="preserve">Varie</x:t>
        </x:is>
      </x:c>
      <x:c r="B17" s="2" t="inlineStr">
        <x:is>
          <x:t xml:space="preserve">Ferruli, capicorda, fascette, etichette termorestringenti</x:t>
        </x:is>
      </x:c>
      <x:c r="C17" s="3" t="n">
        <x:v>1</x:v>
      </x:c>
      <x:c r="D17" s="2" t="inlineStr">
        <x:is>
          <x:t xml:space="preserve">Ferruli per 0.5-1.5mm2, guaina termorestringente, etichette resistenti</x:t>
        </x:is>
      </x:c>
      <x:c r="E17" s="2" t="inlineStr">
        <x:is>
          <x:t xml:space="preserve">Entrambi</x:t>
        </x:is>
      </x:c>
      <x:c r="F17" s="2" t="inlineStr">
        <x:is>
          <x:t xml:space="preserve">Riduce falsi contatti e rende replicabile la manutenzione.</x:t>
        </x:is>
      </x:c>
      <x:c r="G17" s="2" t="inlineStr">
        <x:is>
          <x:t xml:space="preserve">https://www.amazon.it/s?k=kit+ferruli+0.5+1.5mm+etichette+termorestringenti</x:t>
        </x:is>
      </x:c>
      <x:c r="H17" s="2" t="inlineStr">
        <x:is>
          <x:t xml:space="preserve">https://www.aliexpress.com/wholesale?SearchText=ferrule+kit+0.5-1.5mm+heat+shrink+labels</x:t>
        </x:is>
      </x:c>
      <x:c r="I17" s="4" t="n">
        <x:v>9.5</x:v>
      </x:c>
      <x:c r="J17" s="4">
        <x:f>C17*I17</x:f>
        <x:v>9.5</x:v>
      </x:c>
    </x:row>
  </x:sheetData>
  <x:pageMargins left="0.7" right="0.7" top="0.75" bottom="0.75" header="0.3" footer="0.3"/>
  <x:tableParts count="1">
    <x:tablePart xmlns:r="http://schemas.openxmlformats.org/officeDocument/2006/relationships" r:id="R9d5b27f8872d4f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42" customWidth="1"/>
    <x:col min="3" max="3" width="14" customWidth="1"/>
    <x:col min="4" max="4" width="10" customWidth="1"/>
    <x:col min="5" max="5" width="40" customWidth="1"/>
    <x:col min="6" max="6" width="30" customWidth="1"/>
    <x:col min="7" max="7" width="36" customWidth="1"/>
    <x:col min="8" max="8" width="36" customWidth="1"/>
    <x:col min="9" max="9" width="18" customWidth="1"/>
    <x:col min="10" max="10" width="16" customWidth="1"/>
    <x:col min="11" max="11" width="22" customWidth="1"/>
  </x:cols>
  <x:sheetData>
    <x:row r="1" ht="28" customHeight="1">
      <x:c r="A1" s="1" t="inlineStr">
        <x:is>
          <x:t xml:space="preserve">Categoria</x:t>
        </x:is>
      </x:c>
      <x:c r="B1" s="1" t="inlineStr">
        <x:is>
          <x:t xml:space="preserve">Opzione</x:t>
        </x:is>
      </x:c>
      <x:c r="C1" s="1" t="inlineStr">
        <x:is>
          <x:t xml:space="preserve">Incluso? (Sì/No)</x:t>
        </x:is>
      </x:c>
      <x:c r="D1" s="1" t="inlineStr">
        <x:is>
          <x:t xml:space="preserve">Quantità</x:t>
        </x:is>
      </x:c>
      <x:c r="E1" s="1" t="inlineStr">
        <x:is>
          <x:t xml:space="preserve">Specifiche minime</x:t>
        </x:is>
      </x:c>
      <x:c r="F1" s="1" t="inlineStr">
        <x:is>
          <x:t xml:space="preserve">Note</x:t>
        </x:is>
      </x:c>
      <x:c r="G1" s="1" t="inlineStr">
        <x:is>
          <x:t xml:space="preserve">Link acquisto 1 (Amazon/UE — query reale)</x:t>
        </x:is>
      </x:c>
      <x:c r="H1" s="1" t="inlineStr">
        <x:is>
          <x:t xml:space="preserve">Link acquisto 2 (AliExpress o equivalente)</x:t>
        </x:is>
      </x:c>
      <x:c r="I1" s="1" t="inlineStr">
        <x:is>
          <x:t xml:space="preserve">Prezzo unitario stimato (€)</x:t>
        </x:is>
      </x:c>
      <x:c r="J1" s="1" t="inlineStr">
        <x:is>
          <x:t xml:space="preserve">Totale riga (€)</x:t>
        </x:is>
      </x:c>
      <x:c r="K1" s="1" t="inlineStr">
        <x:is>
          <x:t xml:space="preserve">Gruppo (Smart/Logging/Full)</x:t>
        </x:is>
      </x:c>
    </x:row>
    <x:row r="2" ht="60" customHeight="1">
      <x:c r="A2" s="2" t="inlineStr">
        <x:is>
          <x:t xml:space="preserve">Connettivita'</x:t>
        </x:is>
      </x:c>
      <x:c r="B2" s="2" t="inlineStr">
        <x:is>
          <x:t xml:space="preserve">Wi-Fi (ESP32 integrato)</x:t>
        </x:is>
      </x:c>
      <x:c r="C2" s="5" t="inlineStr">
        <x:is>
          <x:t xml:space="preserve">Sì</x:t>
        </x:is>
      </x:c>
      <x:c r="D2" s="3" t="n">
        <x:v>1</x:v>
      </x:c>
      <x:c r="E2" s="2" t="inlineStr">
        <x:is>
          <x:t xml:space="preserve">ESP32 con Wi-Fi 802.11 b/g/n (gia' nel modulo)</x:t>
        </x:is>
      </x:c>
      <x:c r="F2" s="2" t="inlineStr">
        <x:is>
          <x:t xml:space="preserve">Nessun costo extra se gia' usi ESP32.</x:t>
        </x:is>
      </x:c>
      <x:c r="G2" s="2" t="inlineStr">
        <x:is>
          <x:t xml:space="preserve">https://www.amazon.it/s?k=esp32+wifi+devkit</x:t>
        </x:is>
      </x:c>
      <x:c r="H2" s="2" t="inlineStr">
        <x:is>
          <x:t xml:space="preserve">https://www.aliexpress.com/wholesale?SearchText=esp32+devkit</x:t>
        </x:is>
      </x:c>
      <x:c r="I2" s="4" t="n">
        <x:v>0</x:v>
      </x:c>
      <x:c r="J2" s="4">
        <x:f>IF(C2="Sì",D2*I2,0)</x:f>
        <x:v>0</x:v>
      </x:c>
      <x:c r="K2" s="5" t="inlineStr">
        <x:is>
          <x:t xml:space="preserve">Smart</x:t>
        </x:is>
      </x:c>
    </x:row>
    <x:row r="3" ht="60" customHeight="1">
      <x:c r="A3" s="2" t="inlineStr">
        <x:is>
          <x:t xml:space="preserve">UI</x:t>
        </x:is>
      </x:c>
      <x:c r="B3" s="2" t="inlineStr">
        <x:is>
          <x:t xml:space="preserve">Display OLED I2C 0.96" 128x64 (SSD1306)</x:t>
        </x:is>
      </x:c>
      <x:c r="C3" s="5" t="inlineStr">
        <x:is>
          <x:t xml:space="preserve">No</x:t>
        </x:is>
      </x:c>
      <x:c r="D3" s="3" t="n">
        <x:v>1</x:v>
      </x:c>
      <x:c r="E3" s="2" t="inlineStr">
        <x:is>
          <x:t xml:space="preserve">I2C, 3.3-5V, indirizzo 0x3C/0x3D</x:t>
        </x:is>
      </x:c>
      <x:c r="F3" s="2" t="inlineStr">
        <x:is>
          <x:t xml:space="preserve">Stato zone, umidita', errori.</x:t>
        </x:is>
      </x:c>
      <x:c r="G3" s="2" t="inlineStr">
        <x:is>
          <x:t xml:space="preserve">https://www.amazon.it/s?k=oled+0.96+ssd1306+i2c</x:t>
        </x:is>
      </x:c>
      <x:c r="H3" s="2" t="inlineStr">
        <x:is>
          <x:t xml:space="preserve">https://www.aliexpress.com/wholesale?SearchText=SSD1306+0.96+I2C+OLED</x:t>
        </x:is>
      </x:c>
      <x:c r="I3" s="4" t="n">
        <x:v>5.5</x:v>
      </x:c>
      <x:c r="J3" s="4">
        <x:f>IF(C3="Sì",D3*I3,0)</x:f>
        <x:v>0</x:v>
      </x:c>
      <x:c r="K3" s="5" t="inlineStr">
        <x:is>
          <x:t xml:space="preserve">Smart</x:t>
        </x:is>
      </x:c>
    </x:row>
    <x:row r="4" ht="60" customHeight="1">
      <x:c r="A4" s="2" t="inlineStr">
        <x:is>
          <x:t xml:space="preserve">Tempo</x:t>
        </x:is>
      </x:c>
      <x:c r="B4" s="2" t="inlineStr">
        <x:is>
          <x:t xml:space="preserve">RTC DS3231 + batteria (CR2032)</x:t>
        </x:is>
      </x:c>
      <x:c r="C4" s="5" t="inlineStr">
        <x:is>
          <x:t xml:space="preserve">No</x:t>
        </x:is>
      </x:c>
      <x:c r="D4" s="3" t="n">
        <x:v>1</x:v>
      </x:c>
      <x:c r="E4" s="2" t="inlineStr">
        <x:is>
          <x:t xml:space="preserve">DS3231, I2C, batteria tampone</x:t>
        </x:is>
      </x:c>
      <x:c r="F4" s="2" t="inlineStr">
        <x:is>
          <x:t xml:space="preserve">Finestre orarie e log con timestamp anche senza Wi-Fi.</x:t>
        </x:is>
      </x:c>
      <x:c r="G4" s="2" t="inlineStr">
        <x:is>
          <x:t xml:space="preserve">https://www.amazon.it/s?k=ds3231+rtc+modulo</x:t>
        </x:is>
      </x:c>
      <x:c r="H4" s="2" t="inlineStr">
        <x:is>
          <x:t xml:space="preserve">https://www.aliexpress.com/wholesale?SearchText=DS3231+RTC+module</x:t>
        </x:is>
      </x:c>
      <x:c r="I4" s="4" t="n">
        <x:v>4.8</x:v>
      </x:c>
      <x:c r="J4" s="4">
        <x:f>IF(C4="Sì",D4*I4,0)</x:f>
        <x:v>0</x:v>
      </x:c>
      <x:c r="K4" s="5" t="inlineStr">
        <x:is>
          <x:t xml:space="preserve">Smart</x:t>
        </x:is>
      </x:c>
    </x:row>
    <x:row r="5" ht="60" customHeight="1">
      <x:c r="A5" s="2" t="inlineStr">
        <x:is>
          <x:t xml:space="preserve">Logging</x:t>
        </x:is>
      </x:c>
      <x:c r="B5" s="2" t="inlineStr">
        <x:is>
          <x:t xml:space="preserve">Modulo microSD SPI + microSD 8-32GB</x:t>
        </x:is>
      </x:c>
      <x:c r="C5" s="5" t="inlineStr">
        <x:is>
          <x:t xml:space="preserve">No</x:t>
        </x:is>
      </x:c>
      <x:c r="D5" s="3" t="n">
        <x:v>1</x:v>
      </x:c>
      <x:c r="E5" s="2" t="inlineStr">
        <x:is>
          <x:t xml:space="preserve">3.3V logic (o con level shifting), SPI</x:t>
        </x:is>
      </x:c>
      <x:c r="F5" s="2" t="inlineStr">
        <x:is>
          <x:t xml:space="preserve">Su ESP32 meglio modulo 3.3V nativo.</x:t>
        </x:is>
      </x:c>
      <x:c r="G5" s="2" t="inlineStr">
        <x:is>
          <x:t xml:space="preserve">https://www.amazon.it/s?k=modulo+micro+sd+spi+3.3v</x:t>
        </x:is>
      </x:c>
      <x:c r="H5" s="2" t="inlineStr">
        <x:is>
          <x:t xml:space="preserve">https://www.aliexpress.com/wholesale?SearchText=micro+sd+spi+module+3.3v</x:t>
        </x:is>
      </x:c>
      <x:c r="I5" s="4" t="n">
        <x:v>9.5</x:v>
      </x:c>
      <x:c r="J5" s="4">
        <x:f>IF(C5="Sì",D5*I5,0)</x:f>
        <x:v>0</x:v>
      </x:c>
      <x:c r="K5" s="5" t="inlineStr">
        <x:is>
          <x:t xml:space="preserve">Logging</x:t>
        </x:is>
      </x:c>
    </x:row>
    <x:row r="6" ht="60" customHeight="1">
      <x:c r="A6" s="2" t="inlineStr">
        <x:is>
          <x:t xml:space="preserve">Meteo</x:t>
        </x:is>
      </x:c>
      <x:c r="B6" s="2" t="inlineStr">
        <x:is>
          <x:t xml:space="preserve">Sensore pioggia Hunter Mini-Clik (contatto secco)</x:t>
        </x:is>
      </x:c>
      <x:c r="C6" s="5" t="inlineStr">
        <x:is>
          <x:t xml:space="preserve">No</x:t>
        </x:is>
      </x:c>
      <x:c r="D6" s="3" t="n">
        <x:v>1</x:v>
      </x:c>
      <x:c r="E6" s="2" t="inlineStr">
        <x:is>
          <x:t xml:space="preserve">Contatto secco, installazione esterna, compatibile centraline 24VAC</x:t>
        </x:is>
      </x:c>
      <x:c r="F6" s="2" t="inlineStr">
        <x:is>
          <x:t xml:space="preserve">Blocca irrigazione quando piove (contatto su ingresso digitale).</x:t>
        </x:is>
      </x:c>
      <x:c r="G6" s="2" t="inlineStr">
        <x:is>
          <x:t xml:space="preserve">https://www.amazon.it/s?k=Hunter+Mini+Clik</x:t>
        </x:is>
      </x:c>
      <x:c r="H6" s="2" t="inlineStr">
        <x:is>
          <x:t xml:space="preserve">https://www.aliexpress.com/wholesale?SearchText=Hunter+Mini+Clik+rain+sensor</x:t>
        </x:is>
      </x:c>
      <x:c r="I6" s="4" t="n">
        <x:v>34</x:v>
      </x:c>
      <x:c r="J6" s="4">
        <x:f>IF(C6="Sì",D6*I6,0)</x:f>
        <x:v>0</x:v>
      </x:c>
      <x:c r="K6" s="5" t="inlineStr">
        <x:is>
          <x:t xml:space="preserve">Smart</x:t>
        </x:is>
      </x:c>
    </x:row>
    <x:row r="7" ht="60" customHeight="1">
      <x:c r="A7" s="2" t="inlineStr">
        <x:is>
          <x:t xml:space="preserve">Anti-zanzare (sicuro)</x:t>
        </x:is>
      </x:c>
      <x:c r="B7" s="2" t="inlineStr">
        <x:is>
          <x:t xml:space="preserve">Sensore livello ristagni (galleggiante IP68)</x:t>
        </x:is>
      </x:c>
      <x:c r="C7" s="5" t="inlineStr">
        <x:is>
          <x:t xml:space="preserve">No</x:t>
        </x:is>
      </x:c>
      <x:c r="D7" s="3" t="n">
        <x:v>1</x:v>
      </x:c>
      <x:c r="E7" s="2" t="inlineStr">
        <x:is>
          <x:t xml:space="preserve">Galleggiante contatto secco, IP68, cavo &gt;=1m</x:t>
        </x:is>
      </x:c>
      <x:c r="F7" s="2" t="inlineStr">
        <x:is>
          <x:t xml:space="preserve">Rileva ristagni in bidoni/pozzetti -&gt; alert e reminder Bti.</x:t>
        </x:is>
      </x:c>
      <x:c r="G7" s="2" t="inlineStr">
        <x:is>
          <x:t xml:space="preserve">https://www.amazon.it/s?k=interruttore+galleggiante+ip68+contatto+secco</x:t>
        </x:is>
      </x:c>
      <x:c r="H7" s="2" t="inlineStr">
        <x:is>
          <x:t xml:space="preserve">https://www.aliexpress.com/wholesale?SearchText=IP68+float+switch+dry+contact</x:t>
        </x:is>
      </x:c>
      <x:c r="I7" s="4" t="n">
        <x:v>6.5</x:v>
      </x:c>
      <x:c r="J7" s="4">
        <x:f>IF(C7="Sì",D7*I7,0)</x:f>
        <x:v>0</x:v>
      </x:c>
      <x:c r="K7" s="5" t="inlineStr">
        <x:is>
          <x:t xml:space="preserve">Smart</x:t>
        </x:is>
      </x:c>
    </x:row>
    <x:row r="8" ht="60" customHeight="1">
      <x:c r="A8" s="2" t="inlineStr">
        <x:is>
          <x:t xml:space="preserve">Anti-zanzare (sicuro)</x:t>
        </x:is>
      </x:c>
      <x:c r="B8" s="2" t="inlineStr">
        <x:is>
          <x:t xml:space="preserve">Mini pompa svuotamento 12V DC + alimentatore 12V 2A</x:t>
        </x:is>
      </x:c>
      <x:c r="C8" s="5" t="inlineStr">
        <x:is>
          <x:t xml:space="preserve">No</x:t>
        </x:is>
      </x:c>
      <x:c r="D8" s="3" t="n">
        <x:v>1</x:v>
      </x:c>
      <x:c r="E8" s="2" t="inlineStr">
        <x:is>
          <x:t xml:space="preserve">Pompa 12V, alimentatore certificato, tubo scarico</x:t>
        </x:is>
      </x:c>
      <x:c r="F8" s="2" t="inlineStr">
        <x:is>
          <x:t xml:space="preserve">Solo per svuotare ristagni. Richiede uscita relay/SSR extra.</x:t>
        </x:is>
      </x:c>
      <x:c r="G8" s="2" t="inlineStr">
        <x:is>
          <x:t xml:space="preserve">https://www.amazon.it/s?k=pompa+12v+mini+svuotamento+acquario+alimentatore+12v+2a</x:t>
        </x:is>
      </x:c>
      <x:c r="H8" s="2" t="inlineStr">
        <x:is>
          <x:t xml:space="preserve">https://www.aliexpress.com/wholesale?SearchText=12v+mini+water+pump+power+supply+12v+2a</x:t>
        </x:is>
      </x:c>
      <x:c r="I8" s="4" t="n">
        <x:v>22</x:v>
      </x:c>
      <x:c r="J8" s="4">
        <x:f>IF(C8="Sì",D8*I8,0)</x:f>
        <x:v>0</x:v>
      </x:c>
      <x:c r="K8" s="5" t="inlineStr">
        <x:is>
          <x:t xml:space="preserve">Full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8384086a12c44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customWidth="1"/>
    <x:col min="2" max="2" width="20" customWidth="1"/>
    <x:col min="3" max="3" width="20" customWidth="1"/>
    <x:col min="4" max="4" width="20" customWidth="1"/>
  </x:cols>
  <x:sheetData>
    <x:row r="1">
      <x:c r="A1" s="6" t="inlineStr">
        <x:is>
          <x:t xml:space="preserve">Totali e scenari (calcolati automaticamente)</x:t>
        </x:is>
      </x:c>
    </x:row>
    <x:row r="2">
      <x:c r="A2" s="7" t="inlineStr">
        <x:is>
          <x:t xml:space="preserve">Base</x:t>
        </x:is>
      </x:c>
    </x:row>
    <x:row r="3">
      <x:c r="A3" s="2" t="inlineStr">
        <x:is>
          <x:t xml:space="preserve">Totale Base (Arduino Uno)</x:t>
        </x:is>
      </x:c>
      <x:c r="B3" s="4">
        <x:f>SUMIFS(BOM_Base!$J$2:$J$17,BOM_Base!$E$2:$E$17,"Uno")+SUMIFS(BOM_Base!$J$2:$J$17,BOM_Base!$E$2:$E$17,"Entrambi")</x:f>
        <x:v>145</x:v>
      </x:c>
    </x:row>
    <x:row r="4">
      <x:c r="A4" s="2" t="inlineStr">
        <x:is>
          <x:t xml:space="preserve">Totale Base (ESP32)</x:t>
        </x:is>
      </x:c>
      <x:c r="B4" s="4">
        <x:f>SUMIFS(BOM_Base!$J$2:$J$17,BOM_Base!$E$2:$E$17,"ESP32")+SUMIFS(BOM_Base!$J$2:$J$17,BOM_Base!$E$2:$E$17,"Entrambi")</x:f>
        <x:v>128.5</x:v>
      </x:c>
    </x:row>
    <x:row r="5"/>
    <x:row r="6">
      <x:c r="A6" s="7" t="inlineStr">
        <x:is>
          <x:t xml:space="preserve">Optional</x:t>
        </x:is>
      </x:c>
    </x:row>
    <x:row r="7">
      <x:c r="A7" s="2" t="inlineStr">
        <x:is>
          <x:t xml:space="preserve">Optional selezionati (tutti i gruppi)</x:t>
        </x:is>
      </x:c>
      <x:c r="B7" s="4">
        <x:f>SUM(Optional_Upgrade!$J$2:$J$8)</x:f>
        <x:v>0</x:v>
      </x:c>
    </x:row>
    <x:row r="8">
      <x:c r="A8" s="2" t="inlineStr">
        <x:is>
          <x:t xml:space="preserve">Optional selezionati - Smart</x:t>
        </x:is>
      </x:c>
      <x:c r="B8" s="4">
        <x:f>SUMIFS(Optional_Upgrade!$J$2:$J$8,Optional_Upgrade!$K$2:$K$8,"Smart")</x:f>
        <x:v>0</x:v>
      </x:c>
    </x:row>
    <x:row r="9">
      <x:c r="A9" s="2" t="inlineStr">
        <x:is>
          <x:t xml:space="preserve">Optional selezionati - Logging</x:t>
        </x:is>
      </x:c>
      <x:c r="B9" s="4">
        <x:f>SUMIFS(Optional_Upgrade!$J$2:$J$8,Optional_Upgrade!$K$2:$K$8,"Logging")</x:f>
        <x:v>0</x:v>
      </x:c>
    </x:row>
    <x:row r="10">
      <x:c r="A10" s="2" t="inlineStr">
        <x:is>
          <x:t xml:space="preserve">Optional selezionati - Full</x:t>
        </x:is>
      </x:c>
      <x:c r="B10" s="4">
        <x:f>SUMIFS(Optional_Upgrade!$J$2:$J$8,Optional_Upgrade!$K$2:$K$8,"Full")</x:f>
        <x:v>0</x:v>
      </x:c>
    </x:row>
    <x:row r="11">
      <x:c r="A11" s="2" t="inlineStr">
        <x:is>
          <x:t xml:space="preserve">Optional FULL (come se tutti fossero Sì)</x:t>
        </x:is>
      </x:c>
      <x:c r="B11" s="4">
        <x:f>SUMPRODUCT(Optional_Upgrade!$D$2:$D$8,Optional_Upgrade!$I$2:$I$8)</x:f>
        <x:v>82.3</x:v>
      </x:c>
    </x:row>
    <x:row r="12">
      <x:c r="A12" s="7" t="inlineStr">
        <x:is>
          <x:t xml:space="preserve">Scenari richiesti</x:t>
        </x:is>
      </x:c>
    </x:row>
    <x:row r="13">
      <x:c r="A13" s="2" t="inlineStr">
        <x:is>
          <x:t xml:space="preserve">Base + Smart (ESP32 + optional Smart selezionati)</x:t>
        </x:is>
      </x:c>
      <x:c r="B13" s="4">
        <x:f>B4+B8</x:f>
        <x:v>128.5</x:v>
      </x:c>
    </x:row>
    <x:row r="14">
      <x:c r="A14" s="2" t="inlineStr">
        <x:is>
          <x:t xml:space="preserve">Base + Smart + Logging (ESP32 + Smart + Logging selezionati)</x:t>
        </x:is>
      </x:c>
      <x:c r="B14" s="4">
        <x:f>B4+B8+B9</x:f>
        <x:v>128.5</x:v>
      </x:c>
    </x:row>
    <x:row r="15">
      <x:c r="A15" s="2" t="inlineStr">
        <x:is>
          <x:t xml:space="preserve">Full Optional (ESP32 + tutti optional a prescindere dai Sì/No)</x:t>
        </x:is>
      </x:c>
      <x:c r="B15" s="4">
        <x:f>B4+B11</x:f>
        <x:v>210.8</x:v>
      </x:c>
    </x:row>
  </x:sheetData>
  <x:mergeCells>
    <x:mergeCell ref="A1:D1"/>
    <x:mergeCell ref="A12:D12"/>
    <x:mergeCell ref="A2:D2"/>
    <x:mergeCell ref="A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customWidth="1"/>
    <x:col min="2" max="2" width="70" customWidth="1"/>
    <x:col min="3" max="3" width="20" customWidth="1"/>
    <x:col min="4" max="4" width="20" customWidth="1"/>
  </x:cols>
  <x:sheetData>
    <x:row r="1">
      <x:c r="A1" s="6" t="inlineStr">
        <x:is>
          <x:t xml:space="preserve">Note d'acquisto, compatibilita' e fonti</x:t>
        </x:is>
      </x:c>
    </x:row>
    <x:row r="3">
      <x:c r="A3" s="7" t="inlineStr">
        <x:is>
          <x:t xml:space="preserve">Avvertenze / consigli</x:t>
        </x:is>
      </x:c>
    </x:row>
    <x:row r="4" ht="45" customHeight="1">
      <x:c r="A4" s="2" t="inlineStr">
        <x:is>
          <x:t xml:space="preserve">Compatibilita' 3.3V vs 5V</x:t>
        </x:is>
      </x:c>
      <x:c r="B4" s="2" t="inlineStr">
        <x:is>
          <x:t xml:space="preserve">Standardizza i sensori a 3.3V: funziona sia su UNO (legge anche &lt;5V) sia su ESP32 (evita over-voltage sugli ADC). Se usi moduli a 5V con ESP32, serve level shifting o ingressi optoisolati.</x:t>
        </x:is>
      </x:c>
    </x:row>
    <x:row r="5" ht="45" customHeight="1">
      <x:c r="A5" s="2" t="inlineStr">
        <x:is>
          <x:t xml:space="preserve">SSR / Rele'</x:t>
        </x:is>
      </x:c>
      <x:c r="B5" s="2" t="inlineStr">
        <x:is>
          <x:t xml:space="preserve">Preferisci SSR AC con ingresso 3-32V (ok a 3.3V) e isolamento ottico. Se usi relè meccanici, verifica: bobina 5V, contatti &gt;=1A @ 30VAC, e aggiungi RC snubber.</x:t>
        </x:is>
      </x:c>
    </x:row>
    <x:row r="6" ht="45" customHeight="1">
      <x:c r="A6" s="2" t="inlineStr">
        <x:is>
          <x:t xml:space="preserve">Trasformatore 24VAC</x:t>
        </x:is>
      </x:c>
      <x:c r="B6" s="2" t="inlineStr">
        <x:is>
          <x:t xml:space="preserve">Eco-Logic (cut sheet) dichiara uscita trasformatore 24VAC 0.625A. Con 2 zone, progetta per non aprire mai due elettrovalvole insieme.</x:t>
        </x:is>
      </x:c>
    </x:row>
    <x:row r="7" ht="45" customHeight="1">
      <x:c r="A7" s="2" t="inlineStr">
        <x:is>
          <x:t xml:space="preserve">Risparmio</x:t>
        </x:is>
      </x:c>
      <x:c r="B7" s="2" t="inlineStr">
        <x:is>
          <x:t xml:space="preserve">Sviluppo: usa UNO + breadboard; poi migra su ESP32 senza cambiare cablaggio. Box IP65 e morsetti: non risparmiare qui (affidabilita').</x:t>
        </x:is>
      </x:c>
    </x:row>
    <x:row r="8" ht="45" customHeight="1">
      <x:c r="A8" s="2" t="inlineStr">
        <x:is>
          <x:t xml:space="preserve">Sicurezza</x:t>
        </x:is>
      </x:c>
      <x:c r="B8" s="2" t="inlineStr">
        <x:is>
          <x:t xml:space="preserve">230VAC resta fuori dal box IP65: usa solo alimentatori/trasformatori certificati. All'interno: solo 24VAC e 5VDC, cablaggio ordinato, fusibile su linea 24VAC HOT.</x:t>
        </x:is>
      </x:c>
    </x:row>
    <x:row r="9"/>
    <x:row r="10">
      <x:c r="A10" s="7" t="inlineStr">
        <x:is>
          <x:t xml:space="preserve">Fonti tecniche (da consultare in caso di dubbi)</x:t>
        </x:is>
      </x:c>
    </x:row>
    <x:row r="11" ht="28" customHeight="1">
      <x:c r="A11" s="2" t="inlineStr">
        <x:is>
          <x:t xml:space="preserve">Hunter Eco-Logic - Cut Sheet (specifiche elettriche)</x:t>
        </x:is>
      </x:c>
      <x:c r="B11" s="2" t="inlineStr">
        <x:is>
          <x:t xml:space="preserve">https://www.hunterirrigation.com/sites/default/files/CA-Cutsheet-EcoLogic-EM.pdf</x:t>
        </x:is>
      </x:c>
    </x:row>
    <x:row r="12" ht="28" customHeight="1">
      <x:c r="A12" s="2" t="inlineStr">
        <x:is>
          <x:t xml:space="preserve">Hunter Solenoids - specifiche corrente (inrush/holding)</x:t>
        </x:is>
      </x:c>
      <x:c r="B12" s="2" t="inlineStr">
        <x:is>
          <x:t xml:space="preserve">https://www.hunterirrigation.com/irrigation-product/accessories/solenoids</x:t>
        </x:is>
      </x:c>
    </x:row>
    <x:row r="13" ht="28" customHeight="1">
      <x:c r="A13" s="2" t="inlineStr">
        <x:is>
          <x:t xml:space="preserve">Hunter Mini-Clik wiring (sensore pioggia)</x:t>
        </x:is>
      </x:c>
      <x:c r="B13" s="2" t="inlineStr">
        <x:is>
          <x:t xml:space="preserve">https://www.hunterirrigation.com/support/mini-clik-wiring</x:t>
        </x:is>
      </x:c>
    </x:row>
  </x:sheetData>
  <x:mergeCells>
    <x:mergeCell ref="A1:D1"/>
    <x:mergeCell ref="B11:D11"/>
    <x:mergeCell ref="B5:D5"/>
    <x:mergeCell ref="B8:D8"/>
    <x:mergeCell ref="A3:D3"/>
    <x:mergeCell ref="B4:D4"/>
    <x:mergeCell ref="B13:D13"/>
    <x:mergeCell ref="A10:D10"/>
    <x:mergeCell ref="B12:D12"/>
    <x:mergeCell ref="B7:D7"/>
    <x:mergeCell ref="B6:D6"/>
  </x:mergeCells>
  <x:pageMargins left="0.7" right="0.7" top="0.75" bottom="0.75" header="0.3" footer="0.3"/>
</x:worksheet>
</file>